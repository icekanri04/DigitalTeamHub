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Assignments" sheetId="2" r:id="rId6"/>
  </sheets>
  <definedNames/>
  <calcPr/>
</workbook>
</file>

<file path=xl/sharedStrings.xml><?xml version="1.0" encoding="utf-8"?>
<sst xmlns="http://schemas.openxmlformats.org/spreadsheetml/2006/main" count="43" uniqueCount="32">
  <si>
    <t>MemberID</t>
  </si>
  <si>
    <t>Name</t>
  </si>
  <si>
    <t>Role</t>
  </si>
  <si>
    <t>Email</t>
  </si>
  <si>
    <t>B2505024</t>
  </si>
  <si>
    <t>Phan Tiến Phúc</t>
  </si>
  <si>
    <t>Database Developer / Data Analyst (Excel)</t>
  </si>
  <si>
    <t>phucb2505024@student.ctu.edu.vn</t>
  </si>
  <si>
    <t>B2508427</t>
  </si>
  <si>
    <t>Nguyễn Khánh Băng</t>
  </si>
  <si>
    <t>Team Leader / Project Manager</t>
  </si>
  <si>
    <t>bangb2508427@student.ctu.edu.vn</t>
  </si>
  <si>
    <t>B2504873</t>
  </si>
  <si>
    <t>Võ Ngọc Hân</t>
  </si>
  <si>
    <t>Network &amp; Infrastructure / Security &amp; Documentation</t>
  </si>
  <si>
    <t>hanb25048737@student.ctu.edu.vn</t>
  </si>
  <si>
    <t>TaskID</t>
  </si>
  <si>
    <t>Task</t>
  </si>
  <si>
    <t>Status</t>
  </si>
  <si>
    <t>Deadline</t>
  </si>
  <si>
    <t>MemberName</t>
  </si>
  <si>
    <t>T001</t>
  </si>
  <si>
    <t>GitHub</t>
  </si>
  <si>
    <t>Done</t>
  </si>
  <si>
    <t>Count</t>
  </si>
  <si>
    <t>T002</t>
  </si>
  <si>
    <t>Excel file</t>
  </si>
  <si>
    <t>In Progress</t>
  </si>
  <si>
    <t>T003</t>
  </si>
  <si>
    <t>Security + Ergonomics + Report</t>
  </si>
  <si>
    <t>Pending</t>
  </si>
  <si>
    <t>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</si>
</sst>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b/>
      <sz val="14.0"/>
      <color rgb="FF141413"/>
      <name val="&quot;Anthropic Sans&quot;"/>
    </font>
    <font>
      <sz val="14.0"/>
      <color rgb="FF141413"/>
      <name val="Arial"/>
    </font>
    <font>
      <sz val="14.0"/>
      <color theme="1"/>
      <name val="&quot;Times New Roman&quot;"/>
    </font>
    <font>
      <sz val="14.0"/>
      <color rgb="FFFFFFFF"/>
      <name val="Arial"/>
    </font>
    <font>
      <sz val="14.0"/>
      <color rgb="FFFFFFFF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141413"/>
      <name val="&quot;Anthropic Sans&quot;"/>
    </font>
    <font>
      <sz val="13.0"/>
      <color rgb="FF3266AD"/>
      <name val="Ui-monospace"/>
    </font>
    <font/>
    <font>
      <sz val="14.0"/>
      <color rgb="FF000000"/>
      <name val="&quot;Anthropic Sans&quot;"/>
    </font>
    <font>
      <sz val="14.0"/>
      <color rgb="FF000000"/>
      <name val="Arial"/>
      <scheme val="minor"/>
    </font>
    <font>
      <sz val="14.0"/>
      <color rgb="FF000000"/>
      <name val="Arial"/>
    </font>
    <font>
      <sz val="14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4C7C3"/>
        <bgColor rgb="FFF4C7C3"/>
      </patternFill>
    </fill>
  </fills>
  <borders count="5">
    <border/>
    <border>
      <left style="thin">
        <color rgb="FF1F1E1D"/>
      </left>
      <right style="thin">
        <color rgb="FF1F1E1D"/>
      </right>
      <top style="thin">
        <color rgb="FF1F1E1D"/>
      </top>
      <bottom style="thin">
        <color rgb="FF1F1E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3" fontId="7" numFmtId="0" xfId="0" applyAlignment="1" applyBorder="1" applyFill="1" applyFont="1">
      <alignment horizontal="center"/>
    </xf>
    <xf borderId="2" fillId="3" fontId="7" numFmtId="0" xfId="0" applyAlignment="1" applyBorder="1" applyFont="1">
      <alignment horizontal="center" readingOrder="0"/>
    </xf>
    <xf borderId="2" fillId="3" fontId="8" numFmtId="0" xfId="0" applyAlignment="1" applyBorder="1" applyFont="1">
      <alignment readingOrder="0"/>
    </xf>
    <xf borderId="2" fillId="3" fontId="6" numFmtId="0" xfId="0" applyAlignment="1" applyBorder="1" applyFont="1">
      <alignment readingOrder="0"/>
    </xf>
    <xf borderId="2" fillId="3" fontId="2" numFmtId="164" xfId="0" applyAlignment="1" applyBorder="1" applyFont="1" applyNumberFormat="1">
      <alignment readingOrder="0"/>
    </xf>
    <xf borderId="2" fillId="3" fontId="2" numFmtId="0" xfId="0" applyAlignment="1" applyBorder="1" applyFont="1">
      <alignment readingOrder="0"/>
    </xf>
    <xf borderId="2" fillId="3" fontId="9" numFmtId="0" xfId="0" applyBorder="1" applyFont="1"/>
    <xf borderId="4" fillId="0" fontId="10" numFmtId="0" xfId="0" applyBorder="1" applyFont="1"/>
    <xf borderId="2" fillId="0" fontId="6" numFmtId="0" xfId="0" applyAlignment="1" applyBorder="1" applyFont="1">
      <alignment readingOrder="0"/>
    </xf>
    <xf borderId="2" fillId="3" fontId="11" numFmtId="0" xfId="0" applyAlignment="1" applyBorder="1" applyFont="1">
      <alignment readingOrder="0"/>
    </xf>
    <xf borderId="2" fillId="3" fontId="12" numFmtId="0" xfId="0" applyAlignment="1" applyBorder="1" applyFont="1">
      <alignment readingOrder="0"/>
    </xf>
    <xf borderId="2" fillId="3" fontId="13" numFmtId="164" xfId="0" applyAlignment="1" applyBorder="1" applyFont="1" applyNumberFormat="1">
      <alignment readingOrder="0"/>
    </xf>
    <xf borderId="2" fillId="3" fontId="13" numFmtId="0" xfId="0" applyAlignment="1" applyBorder="1" applyFont="1">
      <alignment readingOrder="0"/>
    </xf>
    <xf borderId="2" fillId="0" fontId="14" numFmtId="0" xfId="0" applyAlignment="1" applyBorder="1" applyFont="1">
      <alignment readingOrder="0"/>
    </xf>
    <xf borderId="2" fillId="0" fontId="14" numFmtId="0" xfId="0" applyBorder="1" applyFont="1"/>
    <xf borderId="2" fillId="4" fontId="8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2" fillId="4" fontId="2" numFmtId="164" xfId="0" applyAlignment="1" applyBorder="1" applyFont="1" applyNumberFormat="1">
      <alignment readingOrder="0"/>
    </xf>
    <xf borderId="2" fillId="4" fontId="2" numFmtId="0" xfId="0" applyAlignment="1" applyBorder="1" applyFont="1">
      <alignment readingOrder="0"/>
    </xf>
    <xf borderId="2" fillId="4" fontId="9" numFmtId="0" xfId="0" applyBorder="1" applyFont="1"/>
    <xf borderId="2" fillId="0" fontId="6" numFmtId="0" xfId="0" applyBorder="1" applyFont="1"/>
    <xf borderId="3" fillId="3" fontId="6" numFmtId="0" xfId="0" applyBorder="1" applyFont="1"/>
    <xf borderId="2" fillId="3" fontId="14" numFmtId="0" xfId="0" applyAlignment="1" applyBorder="1" applyFont="1">
      <alignment readingOrder="0"/>
    </xf>
    <xf borderId="2" fillId="3" fontId="5" numFmtId="0" xfId="0" applyAlignment="1" applyBorder="1" applyFont="1">
      <alignment readingOrder="0"/>
    </xf>
    <xf borderId="2" fillId="3" fontId="1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3">
    <tableStyle count="3" pivot="0" name="Members-style">
      <tableStyleElement dxfId="1" type="headerRow"/>
      <tableStyleElement dxfId="2" type="firstRowStripe"/>
      <tableStyleElement dxfId="3" type="secondRowStripe"/>
    </tableStyle>
    <tableStyle count="3" pivot="0" name="Members-style 2">
      <tableStyleElement dxfId="1" type="headerRow"/>
      <tableStyleElement dxfId="2" type="firstRowStripe"/>
      <tableStyleElement dxfId="3" type="secondRowStripe"/>
    </tableStyle>
    <tableStyle count="3" pivot="0" name="Assignm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Assignments!$H$1:$H$5</c:f>
            </c:strRef>
          </c:cat>
          <c:val>
            <c:numRef>
              <c:f>Assignments!$I$1:$I$5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Tasks per Member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Assignments!$H$6:$H$10</c:f>
            </c:strRef>
          </c:cat>
          <c:val>
            <c:numRef>
              <c:f>Assignments!$I$6:$I$10</c:f>
              <c:numCache/>
            </c:numRef>
          </c:val>
        </c:ser>
        <c:axId val="1483457539"/>
        <c:axId val="853843345"/>
      </c:barChart>
      <c:catAx>
        <c:axId val="14834575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843345"/>
      </c:catAx>
      <c:valAx>
        <c:axId val="8538433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4575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3</xdr:row>
      <xdr:rowOff>228600</xdr:rowOff>
    </xdr:from>
    <xdr:ext cx="8667750" cy="35337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1066800</xdr:colOff>
      <xdr:row>13</xdr:row>
      <xdr:rowOff>9525</xdr:rowOff>
    </xdr:from>
    <xdr:ext cx="5715000" cy="4629150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emb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D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ember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:I3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ssignm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60.13"/>
    <col customWidth="1" min="4" max="4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4" t="s">
        <v>8</v>
      </c>
      <c r="B3" s="4" t="s">
        <v>9</v>
      </c>
      <c r="C3" s="5" t="s">
        <v>10</v>
      </c>
      <c r="D3" s="4" t="s">
        <v>11</v>
      </c>
    </row>
    <row r="4">
      <c r="A4" s="2" t="s">
        <v>12</v>
      </c>
      <c r="B4" s="2" t="s">
        <v>13</v>
      </c>
      <c r="C4" s="6" t="s">
        <v>14</v>
      </c>
      <c r="D4" s="2" t="s">
        <v>15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14.88"/>
    <col customWidth="1" min="4" max="4" width="16.88"/>
    <col customWidth="1" min="6" max="6" width="19.63"/>
    <col customWidth="1" min="8" max="8" width="21.75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0</v>
      </c>
      <c r="F1" s="7" t="s">
        <v>20</v>
      </c>
      <c r="G1" s="8"/>
      <c r="H1" s="9"/>
      <c r="I1" s="9"/>
    </row>
    <row r="2">
      <c r="A2" s="10" t="s">
        <v>21</v>
      </c>
      <c r="B2" s="11" t="s">
        <v>22</v>
      </c>
      <c r="C2" s="10" t="s">
        <v>23</v>
      </c>
      <c r="D2" s="12">
        <v>46108.0</v>
      </c>
      <c r="E2" s="13" t="s">
        <v>4</v>
      </c>
      <c r="F2" s="14" t="str">
        <f>IFERROR(VLOOKUP(TRIM(E2),Members!A:B,2,FALSE),"Không tìm thấy")</f>
        <v>Phan Tiến Phúc</v>
      </c>
      <c r="G2" s="15"/>
      <c r="H2" s="16" t="s">
        <v>18</v>
      </c>
      <c r="I2" s="16" t="s">
        <v>24</v>
      </c>
    </row>
    <row r="3">
      <c r="A3" s="17" t="s">
        <v>25</v>
      </c>
      <c r="B3" s="18" t="s">
        <v>26</v>
      </c>
      <c r="C3" s="17" t="s">
        <v>27</v>
      </c>
      <c r="D3" s="19">
        <v>46107.0</v>
      </c>
      <c r="E3" s="20" t="s">
        <v>8</v>
      </c>
      <c r="F3" s="14" t="str">
        <f>IFERROR(VLOOKUP(TRIM(E3),Members!A:B,2,FALSE),"Không tìm thấy")</f>
        <v>Nguyễn Khánh Băng</v>
      </c>
      <c r="G3" s="21">
        <v>1.0</v>
      </c>
      <c r="H3" s="21" t="s">
        <v>23</v>
      </c>
      <c r="I3" s="22">
        <f>COUNTIF(C:C,"Done")</f>
        <v>1</v>
      </c>
    </row>
    <row r="4">
      <c r="A4" s="23" t="s">
        <v>28</v>
      </c>
      <c r="B4" s="24" t="s">
        <v>29</v>
      </c>
      <c r="C4" s="23" t="s">
        <v>30</v>
      </c>
      <c r="D4" s="25">
        <v>46098.0</v>
      </c>
      <c r="E4" s="26" t="s">
        <v>12</v>
      </c>
      <c r="F4" s="27" t="str">
        <f>IFERROR(VLOOKUP(TRIM(E4),Members!A:B,2,FALSE),"Không tìm thấy")</f>
        <v>Võ Ngọc Hân</v>
      </c>
      <c r="G4" s="16">
        <v>2.0</v>
      </c>
      <c r="H4" s="16" t="s">
        <v>27</v>
      </c>
      <c r="I4" s="28">
        <f>COUNTIF(C:C,"In Progress")</f>
        <v>1</v>
      </c>
    </row>
    <row r="5">
      <c r="G5" s="16">
        <v>3.0</v>
      </c>
      <c r="H5" s="16" t="s">
        <v>30</v>
      </c>
      <c r="I5" s="28">
        <f>COUNTIF(C:C,"Pending")</f>
        <v>1</v>
      </c>
    </row>
    <row r="6">
      <c r="G6" s="29"/>
      <c r="H6" s="9"/>
      <c r="I6" s="9"/>
    </row>
    <row r="7">
      <c r="G7" s="15"/>
      <c r="H7" s="16"/>
      <c r="I7" s="16" t="s">
        <v>31</v>
      </c>
    </row>
    <row r="8">
      <c r="G8" s="16">
        <v>4.0</v>
      </c>
      <c r="H8" s="16" t="s">
        <v>5</v>
      </c>
      <c r="I8" s="28">
        <f>COUNTIF(F:F,"Phan Tiến Phúc")</f>
        <v>1</v>
      </c>
    </row>
    <row r="9">
      <c r="G9" s="30">
        <v>5.0</v>
      </c>
      <c r="H9" s="31" t="s">
        <v>9</v>
      </c>
      <c r="I9" s="32">
        <f>COUNTIF(F:F,"Nguyễn Khánh Băng")</f>
        <v>1</v>
      </c>
    </row>
    <row r="10">
      <c r="G10" s="16">
        <v>6.0</v>
      </c>
      <c r="H10" s="16" t="s">
        <v>13</v>
      </c>
      <c r="I10" s="28">
        <f>COUNTIF(F:F,"Võ Ngọc Hân")</f>
        <v>1</v>
      </c>
    </row>
  </sheetData>
  <mergeCells count="2">
    <mergeCell ref="G1:G2"/>
    <mergeCell ref="G6:G7"/>
  </mergeCells>
  <conditionalFormatting sqref="A2:F4">
    <cfRule type="expression" dxfId="4" priority="1">
      <formula>$D2&lt;TODAY()</formula>
    </cfRule>
  </conditionalFormatting>
  <drawing r:id="rId1"/>
  <tableParts count="1">
    <tablePart r:id="rId3"/>
  </tableParts>
</worksheet>
</file>